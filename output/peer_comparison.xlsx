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mobiles" sheetId="1" r:id="rId1"/>
  </sheets>
  <definedNames>
    <definedName name="_xlnm._FilterDatabase" localSheetId="0" hidden="1">Automobiles!$A$1:$AH$8</definedName>
  </definedNames>
  <calcPr calcId="124519" fullCalcOnLoad="1"/>
</workbook>
</file>

<file path=xl/sharedStrings.xml><?xml version="1.0" encoding="utf-8"?>
<sst xmlns="http://schemas.openxmlformats.org/spreadsheetml/2006/main" count="97" uniqueCount="43">
  <si>
    <t>company_id</t>
  </si>
  <si>
    <t>company_name</t>
  </si>
  <si>
    <t>company_name_financial</t>
  </si>
  <si>
    <t>year</t>
  </si>
  <si>
    <t>ROE</t>
  </si>
  <si>
    <t>ROCE</t>
  </si>
  <si>
    <t>NPM</t>
  </si>
  <si>
    <t>Operating Profit Margin</t>
  </si>
  <si>
    <t>Debt Equity</t>
  </si>
  <si>
    <t>Interest Coverage</t>
  </si>
  <si>
    <t>Dividend Yield</t>
  </si>
  <si>
    <t>FCF</t>
  </si>
  <si>
    <t>FCF CAGR 5yr</t>
  </si>
  <si>
    <t>PAT CAGR 5yr</t>
  </si>
  <si>
    <t>Revenue CAGR 5yr</t>
  </si>
  <si>
    <t>EPS CAGR 5yr</t>
  </si>
  <si>
    <t>Asset Turnover</t>
  </si>
  <si>
    <t>Revenue</t>
  </si>
  <si>
    <t>Net Profit</t>
  </si>
  <si>
    <t>EPS</t>
  </si>
  <si>
    <t>Market Cap</t>
  </si>
  <si>
    <t>Total Assets</t>
  </si>
  <si>
    <t>Cashflow to Profit</t>
  </si>
  <si>
    <t>Composite Score</t>
  </si>
  <si>
    <t>ROE Percentile Rank</t>
  </si>
  <si>
    <t>ROCE Percentile Rank</t>
  </si>
  <si>
    <t>NPM Percentile Rank</t>
  </si>
  <si>
    <t>Debt Equity Percentile Rank</t>
  </si>
  <si>
    <t>FCF CAGR 5yr Percentile Rank</t>
  </si>
  <si>
    <t>PAT CAGR 5yr Percentile Rank</t>
  </si>
  <si>
    <t>Revenue CAGR 5yr Percentile Rank</t>
  </si>
  <si>
    <t>EPS CAGR 5yr Percentile Rank</t>
  </si>
  <si>
    <t>Interest Coverage Percentile Rank</t>
  </si>
  <si>
    <t>Asset Turnover Percentile Rank</t>
  </si>
  <si>
    <t>MARUTI</t>
  </si>
  <si>
    <t>TATAMOTORS</t>
  </si>
  <si>
    <t>M&amp;M</t>
  </si>
  <si>
    <t>BAJAJ-AUTO</t>
  </si>
  <si>
    <t>EICHERMOT</t>
  </si>
  <si>
    <t>HEROMOTOCO</t>
  </si>
  <si>
    <t>TVSMOTOR</t>
  </si>
  <si>
    <t>Mar 2024</t>
  </si>
  <si>
    <t>PEER GROUP MEDIAN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</si>
</sst>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0" xfId="0" applyFont="1" applyFill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4" width="16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s="2" customFormat="1">
      <c r="A2" s="2" t="s">
        <v>34</v>
      </c>
      <c r="B2" s="2" t="s">
        <v>34</v>
      </c>
      <c r="C2" s="2" t="s">
        <v>34</v>
      </c>
      <c r="D2" s="2" t="s">
        <v>41</v>
      </c>
      <c r="E2" s="2">
        <v>15.75</v>
      </c>
      <c r="G2" s="2">
        <v>9.51</v>
      </c>
      <c r="H2" s="2">
        <v>13.13</v>
      </c>
      <c r="I2" s="2">
        <v>0</v>
      </c>
      <c r="J2" s="2">
        <v>96.01000000000001</v>
      </c>
      <c r="Q2" s="2">
        <v>1.23</v>
      </c>
      <c r="R2" s="2">
        <v>141858</v>
      </c>
      <c r="S2" s="2">
        <v>13488</v>
      </c>
      <c r="V2" s="2">
        <v>115304</v>
      </c>
      <c r="W2" s="2">
        <v>1.25</v>
      </c>
      <c r="Y2" s="2">
        <v>14.29</v>
      </c>
      <c r="AA2" s="2">
        <v>57.14</v>
      </c>
      <c r="AB2" s="2">
        <v>100</v>
      </c>
      <c r="AG2" s="2">
        <v>85.70999999999999</v>
      </c>
      <c r="AH2" s="2">
        <v>85.70999999999999</v>
      </c>
    </row>
    <row r="3" spans="1:34">
      <c r="A3" t="s">
        <v>35</v>
      </c>
      <c r="B3" t="s">
        <v>35</v>
      </c>
      <c r="C3" t="s">
        <v>35</v>
      </c>
      <c r="D3" t="s">
        <v>41</v>
      </c>
      <c r="E3">
        <v>37.46</v>
      </c>
      <c r="G3">
        <v>7.26</v>
      </c>
      <c r="H3">
        <v>13.6</v>
      </c>
      <c r="I3">
        <v>1.26</v>
      </c>
      <c r="J3">
        <v>5.96</v>
      </c>
      <c r="Q3">
        <v>1.19</v>
      </c>
      <c r="R3">
        <v>437928</v>
      </c>
      <c r="S3">
        <v>31807</v>
      </c>
      <c r="V3">
        <v>369521</v>
      </c>
      <c r="W3">
        <v>2.14</v>
      </c>
      <c r="Y3">
        <v>100</v>
      </c>
      <c r="AA3">
        <v>28.57</v>
      </c>
      <c r="AB3">
        <v>42.86</v>
      </c>
      <c r="AG3">
        <v>42.86</v>
      </c>
      <c r="AH3">
        <v>71.43000000000001</v>
      </c>
    </row>
    <row r="4" spans="1:34">
      <c r="A4" t="s">
        <v>36</v>
      </c>
      <c r="B4" t="s">
        <v>36</v>
      </c>
      <c r="C4" t="s">
        <v>36</v>
      </c>
      <c r="D4" t="s">
        <v>41</v>
      </c>
      <c r="E4">
        <v>18.54</v>
      </c>
      <c r="G4">
        <v>8.82</v>
      </c>
      <c r="H4">
        <v>17.9</v>
      </c>
      <c r="I4">
        <v>1.64</v>
      </c>
      <c r="J4">
        <v>3.32</v>
      </c>
      <c r="Q4">
        <v>0.59</v>
      </c>
      <c r="R4">
        <v>139078</v>
      </c>
      <c r="S4">
        <v>12270</v>
      </c>
      <c r="V4">
        <v>234722</v>
      </c>
      <c r="W4">
        <v>-0.46</v>
      </c>
      <c r="Y4">
        <v>28.57</v>
      </c>
      <c r="AA4">
        <v>42.86</v>
      </c>
      <c r="AB4">
        <v>28.57</v>
      </c>
      <c r="AG4">
        <v>28.57</v>
      </c>
      <c r="AH4">
        <v>14.29</v>
      </c>
    </row>
    <row r="5" spans="1:34">
      <c r="A5" t="s">
        <v>37</v>
      </c>
      <c r="B5" t="s">
        <v>37</v>
      </c>
      <c r="C5" t="s">
        <v>37</v>
      </c>
      <c r="D5" t="s">
        <v>41</v>
      </c>
      <c r="E5">
        <v>26.61</v>
      </c>
      <c r="G5">
        <v>17.18</v>
      </c>
      <c r="H5">
        <v>19.53</v>
      </c>
      <c r="I5">
        <v>0.07000000000000001</v>
      </c>
      <c r="J5">
        <v>146.08</v>
      </c>
      <c r="Q5">
        <v>1.14</v>
      </c>
      <c r="R5">
        <v>44870</v>
      </c>
      <c r="S5">
        <v>7708</v>
      </c>
      <c r="V5">
        <v>39344</v>
      </c>
      <c r="W5">
        <v>0.85</v>
      </c>
      <c r="Y5">
        <v>85.70999999999999</v>
      </c>
      <c r="AA5">
        <v>85.70999999999999</v>
      </c>
      <c r="AB5">
        <v>57.14</v>
      </c>
      <c r="AG5">
        <v>100</v>
      </c>
      <c r="AH5">
        <v>57.14</v>
      </c>
    </row>
    <row r="6" spans="1:34">
      <c r="A6" t="s">
        <v>38</v>
      </c>
      <c r="B6" t="s">
        <v>38</v>
      </c>
      <c r="C6" t="s">
        <v>38</v>
      </c>
      <c r="D6" t="s">
        <v>41</v>
      </c>
      <c r="E6">
        <v>22.17</v>
      </c>
      <c r="G6">
        <v>24.2</v>
      </c>
      <c r="H6">
        <v>26.18</v>
      </c>
      <c r="I6">
        <v>0.02</v>
      </c>
      <c r="J6">
        <v>84.88</v>
      </c>
      <c r="Q6">
        <v>0.72</v>
      </c>
      <c r="R6">
        <v>16536</v>
      </c>
      <c r="S6">
        <v>4001</v>
      </c>
      <c r="V6">
        <v>23115</v>
      </c>
      <c r="W6">
        <v>0.93</v>
      </c>
      <c r="Y6">
        <v>57.14</v>
      </c>
      <c r="AA6">
        <v>100</v>
      </c>
      <c r="AB6">
        <v>85.70999999999999</v>
      </c>
      <c r="AG6">
        <v>71.43000000000001</v>
      </c>
      <c r="AH6">
        <v>28.57</v>
      </c>
    </row>
    <row r="7" spans="1:34">
      <c r="A7" t="s">
        <v>39</v>
      </c>
      <c r="B7" t="s">
        <v>39</v>
      </c>
      <c r="C7" t="s">
        <v>39</v>
      </c>
      <c r="D7" t="s">
        <v>41</v>
      </c>
      <c r="E7">
        <v>21.14</v>
      </c>
      <c r="G7">
        <v>9.9</v>
      </c>
      <c r="H7">
        <v>86.15000000000001</v>
      </c>
      <c r="I7">
        <v>0.03</v>
      </c>
      <c r="J7">
        <v>47.25</v>
      </c>
      <c r="Q7">
        <v>1.44</v>
      </c>
      <c r="R7">
        <v>37789</v>
      </c>
      <c r="S7">
        <v>3742</v>
      </c>
      <c r="V7">
        <v>26153</v>
      </c>
      <c r="W7">
        <v>1.32</v>
      </c>
      <c r="Y7">
        <v>42.86</v>
      </c>
      <c r="AA7">
        <v>71.43000000000001</v>
      </c>
      <c r="AB7">
        <v>71.43000000000001</v>
      </c>
      <c r="AG7">
        <v>57.14</v>
      </c>
      <c r="AH7">
        <v>100</v>
      </c>
    </row>
    <row r="8" spans="1:34">
      <c r="A8" t="s">
        <v>40</v>
      </c>
      <c r="B8" t="s">
        <v>40</v>
      </c>
      <c r="C8" t="s">
        <v>40</v>
      </c>
      <c r="D8" t="s">
        <v>41</v>
      </c>
      <c r="E8">
        <v>26.22</v>
      </c>
      <c r="G8">
        <v>4.54</v>
      </c>
      <c r="H8">
        <v>14.05</v>
      </c>
      <c r="I8">
        <v>3.83</v>
      </c>
      <c r="J8">
        <v>2.85</v>
      </c>
      <c r="Q8">
        <v>0.93</v>
      </c>
      <c r="R8">
        <v>39145</v>
      </c>
      <c r="S8">
        <v>1779</v>
      </c>
      <c r="V8">
        <v>42024</v>
      </c>
      <c r="W8">
        <v>-0.7</v>
      </c>
      <c r="Y8">
        <v>71.43000000000001</v>
      </c>
      <c r="AA8">
        <v>14.29</v>
      </c>
      <c r="AB8">
        <v>14.29</v>
      </c>
      <c r="AG8">
        <v>14.29</v>
      </c>
      <c r="AH8">
        <v>42.86</v>
      </c>
    </row>
    <row r="10" spans="1:34">
      <c r="A10" t="s">
        <v>42</v>
      </c>
      <c r="E10">
        <v>22.17</v>
      </c>
    </row>
  </sheetData>
  <autoFilter ref="A1:AH8"/>
  <conditionalFormatting sqref="AA2:AA8">
    <cfRule type="cellIs" dxfId="0" priority="7" operator="greaterThanOrEqual">
      <formula>75</formula>
    </cfRule>
    <cfRule type="cellIs" dxfId="1" priority="8" operator="between">
      <formula>25</formula>
      <formula>75</formula>
    </cfRule>
    <cfRule type="cellIs" dxfId="2" priority="9" operator="lessThan">
      <formula>25</formula>
    </cfRule>
  </conditionalFormatting>
  <conditionalFormatting sqref="AB2:AB8">
    <cfRule type="cellIs" dxfId="0" priority="10" operator="greaterThanOrEqual">
      <formula>75</formula>
    </cfRule>
    <cfRule type="cellIs" dxfId="1" priority="11" operator="between">
      <formula>25</formula>
      <formula>75</formula>
    </cfRule>
    <cfRule type="cellIs" dxfId="2" priority="12" operator="lessThan">
      <formula>25</formula>
    </cfRule>
  </conditionalFormatting>
  <conditionalFormatting sqref="AC2:AC8">
    <cfRule type="cellIs" dxfId="0" priority="13" operator="greaterThanOrEqual">
      <formula>75</formula>
    </cfRule>
    <cfRule type="cellIs" dxfId="1" priority="14" operator="between">
      <formula>25</formula>
      <formula>75</formula>
    </cfRule>
    <cfRule type="cellIs" dxfId="2" priority="15" operator="lessThan">
      <formula>25</formula>
    </cfRule>
  </conditionalFormatting>
  <conditionalFormatting sqref="AD2:AD8">
    <cfRule type="cellIs" dxfId="0" priority="16" operator="greaterThanOrEqual">
      <formula>75</formula>
    </cfRule>
    <cfRule type="cellIs" dxfId="1" priority="17" operator="between">
      <formula>25</formula>
      <formula>75</formula>
    </cfRule>
    <cfRule type="cellIs" dxfId="2" priority="18" operator="lessThan">
      <formula>25</formula>
    </cfRule>
  </conditionalFormatting>
  <conditionalFormatting sqref="AE2:AE8">
    <cfRule type="cellIs" dxfId="0" priority="19" operator="greaterThanOrEqual">
      <formula>75</formula>
    </cfRule>
    <cfRule type="cellIs" dxfId="1" priority="20" operator="between">
      <formula>25</formula>
      <formula>75</formula>
    </cfRule>
    <cfRule type="cellIs" dxfId="2" priority="21" operator="lessThan">
      <formula>25</formula>
    </cfRule>
  </conditionalFormatting>
  <conditionalFormatting sqref="AF2:AF8">
    <cfRule type="cellIs" dxfId="0" priority="22" operator="greaterThanOrEqual">
      <formula>75</formula>
    </cfRule>
    <cfRule type="cellIs" dxfId="1" priority="23" operator="between">
      <formula>25</formula>
      <formula>75</formula>
    </cfRule>
    <cfRule type="cellIs" dxfId="2" priority="24" operator="lessThan">
      <formula>25</formula>
    </cfRule>
  </conditionalFormatting>
  <conditionalFormatting sqref="AG2:AG8">
    <cfRule type="cellIs" dxfId="0" priority="25" operator="greaterThanOrEqual">
      <formula>75</formula>
    </cfRule>
    <cfRule type="cellIs" dxfId="1" priority="26" operator="between">
      <formula>25</formula>
      <formula>75</formula>
    </cfRule>
    <cfRule type="cellIs" dxfId="2" priority="27" operator="lessThan">
      <formula>25</formula>
    </cfRule>
  </conditionalFormatting>
  <conditionalFormatting sqref="AH2:AH8">
    <cfRule type="cellIs" dxfId="0" priority="28" operator="greaterThanOrEqual">
      <formula>75</formula>
    </cfRule>
    <cfRule type="cellIs" dxfId="1" priority="29" operator="between">
      <formula>25</formula>
      <formula>75</formula>
    </cfRule>
    <cfRule type="cellIs" dxfId="2" priority="30" operator="lessThan">
      <formula>25</formula>
    </cfRule>
  </conditionalFormatting>
  <conditionalFormatting sqref="Y2:Y8">
    <cfRule type="cellIs" dxfId="0" priority="1" operator="greaterThanOrEqual">
      <formula>75</formula>
    </cfRule>
    <cfRule type="cellIs" dxfId="1" priority="2" operator="between">
      <formula>25</formula>
      <formula>75</formula>
    </cfRule>
    <cfRule type="cellIs" dxfId="2" priority="3" operator="lessThan">
      <formula>25</formula>
    </cfRule>
  </conditionalFormatting>
  <conditionalFormatting sqref="Z2:Z8">
    <cfRule type="cellIs" dxfId="0" priority="4" operator="greaterThanOrEqual">
      <formula>75</formula>
    </cfRule>
    <cfRule type="cellIs" dxfId="1" priority="5" operator="between">
      <formula>25</formula>
      <formula>75</formula>
    </cfRule>
    <cfRule type="cellIs" dxfId="2" priority="6" operator="lessThan">
      <formula>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Automobiles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2026-08-13T16:49:53Z</dcterms:created>
  <dcterms:modified xsi:type="dcterms:W3CDTF">2026-08-13T16:49:53Z</dcterms:modified>
</cp:coreProperties>
</file>